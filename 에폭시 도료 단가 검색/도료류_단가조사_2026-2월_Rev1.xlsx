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te\클호그\"/>
    </mc:Choice>
  </mc:AlternateContent>
  <xr:revisionPtr revIDLastSave="0" documentId="13_ncr:1_{949818BA-A15A-4D7C-8B62-A6377C5493F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에폭시 바닥재" sheetId="1" r:id="rId1"/>
    <sheet name="우레탄 방수재" sheetId="2" r:id="rId2"/>
    <sheet name="판매점 연락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2" l="1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N3" i="2"/>
  <c r="O3" i="2" s="1"/>
  <c r="O2" i="2"/>
  <c r="N2" i="2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  <c r="O2" i="1"/>
  <c r="N2" i="1"/>
</calcChain>
</file>

<file path=xl/sharedStrings.xml><?xml version="1.0" encoding="utf-8"?>
<sst xmlns="http://schemas.openxmlformats.org/spreadsheetml/2006/main" count="590" uniqueCount="169">
  <si>
    <t>No</t>
  </si>
  <si>
    <t>제조사</t>
  </si>
  <si>
    <t>제품명</t>
  </si>
  <si>
    <t>규격</t>
  </si>
  <si>
    <t>단위</t>
  </si>
  <si>
    <t>아이디마켓
원가(원)</t>
  </si>
  <si>
    <t>아이디마켓
판매가(원)
(+15%)</t>
  </si>
  <si>
    <t>웹검색①
단가(원)</t>
  </si>
  <si>
    <t>웹검색①
판매처</t>
  </si>
  <si>
    <t>웹검색②
단가(원)</t>
  </si>
  <si>
    <t>웹검색②
판매처</t>
  </si>
  <si>
    <t>웹검색③
단가(원)</t>
  </si>
  <si>
    <t>웹검색③
판매처</t>
  </si>
  <si>
    <t>추천단가
(원)</t>
  </si>
  <si>
    <t>산출근거</t>
  </si>
  <si>
    <t>비고</t>
  </si>
  <si>
    <t>KCC</t>
  </si>
  <si>
    <t>유니폭시 하도(ECO)</t>
  </si>
  <si>
    <t>14L (2액형)</t>
  </si>
  <si>
    <t>통</t>
  </si>
  <si>
    <t>11번가</t>
  </si>
  <si>
    <t>태산스토어</t>
  </si>
  <si>
    <t>KCC플러스</t>
  </si>
  <si>
    <t>콘크리트 바닥 하도</t>
  </si>
  <si>
    <t>유니폭시 하도 (일반형)</t>
  </si>
  <si>
    <t>-</t>
  </si>
  <si>
    <t>ECO 아닌 일반형</t>
  </si>
  <si>
    <t>유니폭시코팅K 상도(녹색/회색)</t>
  </si>
  <si>
    <t>16kg (2액형)</t>
  </si>
  <si>
    <t>11번가(타판매자)</t>
  </si>
  <si>
    <t>박막형 에폭시</t>
  </si>
  <si>
    <t>유니폭시코팅 상도(적갈색ECO)</t>
  </si>
  <si>
    <t>유니폭시코팅 상도(백색ECO)</t>
  </si>
  <si>
    <t>유니폭시코팅 상도(황색ECO)</t>
  </si>
  <si>
    <t>유니폭시코팅 상도(투명)</t>
  </si>
  <si>
    <t>12.6kg (2액형)</t>
  </si>
  <si>
    <t>유니폭시 라이닝(L)(후막형)</t>
  </si>
  <si>
    <t>24kg (2액형)</t>
  </si>
  <si>
    <t>글로벌MRO</t>
  </si>
  <si>
    <t>도막3mm 무용제</t>
  </si>
  <si>
    <t>유니폭시 퍼티(빠데)</t>
  </si>
  <si>
    <t>4L/9L (2액형)</t>
  </si>
  <si>
    <t>크랙 보수용</t>
  </si>
  <si>
    <t>숲으로 수니폭시 하도(수성)</t>
  </si>
  <si>
    <t>16L</t>
  </si>
  <si>
    <t>친환경 수성</t>
  </si>
  <si>
    <t>숲으로외부용KS1급</t>
  </si>
  <si>
    <t>18L</t>
  </si>
  <si>
    <t>수성</t>
  </si>
  <si>
    <t>숲으로내부용KS1급</t>
  </si>
  <si>
    <t>숲으로외부용플러스</t>
  </si>
  <si>
    <t>숲으로내부용플러스</t>
  </si>
  <si>
    <t>숲으로광택플러스</t>
  </si>
  <si>
    <t>FIREMASK SQ-1003</t>
  </si>
  <si>
    <t>내화도료</t>
  </si>
  <si>
    <t>FIREMASK SQ-2003(기둥)/2007(보)</t>
  </si>
  <si>
    <t>노루</t>
  </si>
  <si>
    <t>크린폭시 하도</t>
  </si>
  <si>
    <t>11번가(타)</t>
  </si>
  <si>
    <t>페인트플러스</t>
  </si>
  <si>
    <t>크린폭시 코팅플러스 상도</t>
  </si>
  <si>
    <t>크린폭시 라이닝(KS)</t>
  </si>
  <si>
    <t>24kg</t>
  </si>
  <si>
    <t>무용제 후막형</t>
  </si>
  <si>
    <t>크린폭시 라이닝 투명</t>
  </si>
  <si>
    <t>18kg</t>
  </si>
  <si>
    <t>스피드몰</t>
  </si>
  <si>
    <t>바닥 광택/방진</t>
  </si>
  <si>
    <t>크린폭시 퍼티(속건형)</t>
  </si>
  <si>
    <t>6kg (2액형)</t>
  </si>
  <si>
    <t>뉴워터폭시(수성에폭시)</t>
  </si>
  <si>
    <t>수성 상도</t>
  </si>
  <si>
    <t>※ 아이디마켓 원가: KCC→아이디마켓 공급가 (2026.02) / 판매가: 원가×1.15 (100원 올림)</t>
  </si>
  <si>
    <t>※ 추천단가: 아이디마켓 판매가와 웹 최저가의 중간값 (적정가). 아이디마켓이 더 낮으면 아이디마켓 기준.</t>
  </si>
  <si>
    <t>※ 웹검색 단가: 2025~2026년 온라인 쇼핑몰 검색 기준 (시점에 따라 변동 가능)</t>
  </si>
  <si>
    <t>스포탄 하도(ECO)</t>
  </si>
  <si>
    <t>14kg</t>
  </si>
  <si>
    <t>다나와</t>
  </si>
  <si>
    <t>스포탄 노출방수재K(2액형 중도)</t>
  </si>
  <si>
    <t>20kg</t>
  </si>
  <si>
    <t>스포탄 노출방수재(2액형 중도)</t>
  </si>
  <si>
    <t>스포탄 상도(2액형)</t>
  </si>
  <si>
    <t>11번가(12.6L)</t>
  </si>
  <si>
    <t>11번가(14kg)</t>
  </si>
  <si>
    <t>나비엠알오</t>
  </si>
  <si>
    <t>스포탄 KS1류방수재</t>
  </si>
  <si>
    <t>스포탄 KS비노출방수재</t>
  </si>
  <si>
    <t>하이퍼우레아 PU295A</t>
  </si>
  <si>
    <t>400kg</t>
  </si>
  <si>
    <t>하이퍼우레아 HB195A</t>
  </si>
  <si>
    <t>스포탄 고경질실러</t>
  </si>
  <si>
    <t>스포탄 고경질바닥재</t>
  </si>
  <si>
    <t>스포탄 고경질상도</t>
  </si>
  <si>
    <t>16.5kg</t>
  </si>
  <si>
    <t>스포탄 KS하이퍼플로어</t>
  </si>
  <si>
    <t>모노탄 1액형 노출방수재(중도)</t>
  </si>
  <si>
    <t>16kg</t>
  </si>
  <si>
    <t>1액형</t>
  </si>
  <si>
    <t>모노탄 상도</t>
  </si>
  <si>
    <t>3.6L</t>
  </si>
  <si>
    <t>스포탄 희석제</t>
  </si>
  <si>
    <t>별도문의</t>
  </si>
  <si>
    <t>코레실</t>
  </si>
  <si>
    <t>우레탄 옥상방수 2mm 30평 세트</t>
  </si>
  <si>
    <t>30평형</t>
  </si>
  <si>
    <t>set</t>
  </si>
  <si>
    <t>페인트사랑</t>
  </si>
  <si>
    <t>세트</t>
  </si>
  <si>
    <t>우레탄 옥상방수 2mm 20평 세트</t>
  </si>
  <si>
    <t>20평형</t>
  </si>
  <si>
    <t>우레탄 옥상방수 1mm 15평 세트</t>
  </si>
  <si>
    <t>15평형</t>
  </si>
  <si>
    <t>웹최저 295,900</t>
  </si>
  <si>
    <t>판매점명</t>
  </si>
  <si>
    <t>대표자</t>
  </si>
  <si>
    <t>주소</t>
  </si>
  <si>
    <t>전화번호</t>
  </si>
  <si>
    <t>팩스</t>
  </si>
  <si>
    <t>이메일</t>
  </si>
  <si>
    <t>홈페이지</t>
  </si>
  <si>
    <t>사업자등록번호</t>
  </si>
  <si>
    <t>취급품목</t>
  </si>
  <si>
    <t>아이디마켓</t>
  </si>
  <si>
    <t>https://idfenc.com</t>
  </si>
  <si>
    <t>KCC 도료/바닥재</t>
  </si>
  <si>
    <t>KCC플러스(다우상사)</t>
  </si>
  <si>
    <t>도규옥</t>
  </si>
  <si>
    <t>충북 청주시 흥덕구 가로수로 935 1층 102호</t>
  </si>
  <si>
    <t>043-232-7770</t>
  </si>
  <si>
    <t>sharonto@naver.com</t>
  </si>
  <si>
    <t>https://kccplus.com</t>
  </si>
  <si>
    <t>527-15-00834</t>
  </si>
  <si>
    <t>KCC 에폭시/우레탄</t>
  </si>
  <si>
    <t>몰딩닷컴(금강데코)</t>
  </si>
  <si>
    <t>노유진</t>
  </si>
  <si>
    <t>대전 대덕구 오정동 73-5</t>
  </si>
  <si>
    <t>010-4450-2014</t>
  </si>
  <si>
    <t>042-635-0057</t>
  </si>
  <si>
    <t>mol_ding@naver.com</t>
  </si>
  <si>
    <t>https://mol-ding.com</t>
  </si>
  <si>
    <t>305-81-39409</t>
  </si>
  <si>
    <t>건축내외장재</t>
  </si>
  <si>
    <t>태산스토어(유한회사 태산)</t>
  </si>
  <si>
    <t>이현준</t>
  </si>
  <si>
    <t>전북 전주시 덕진구 기린대로 1031</t>
  </si>
  <si>
    <t>010-5825-0155</t>
  </si>
  <si>
    <t>marine851@naver.com</t>
  </si>
  <si>
    <t>https://taesanstore.com</t>
  </si>
  <si>
    <t>403-81-82267</t>
  </si>
  <si>
    <t>에폭시/타일부자재</t>
  </si>
  <si>
    <t>https://paintplus.co.kr</t>
  </si>
  <si>
    <t>노루페인트 전문</t>
  </si>
  <si>
    <t>KCC 본사</t>
  </si>
  <si>
    <t>A/S: 080-022-8200</t>
  </si>
  <si>
    <t>https://www.kccworld.co.kr</t>
  </si>
  <si>
    <t>KCC 전제품</t>
  </si>
  <si>
    <t>노루페인트 본사</t>
  </si>
  <si>
    <t>경기 안양시 만안구 박달로 351</t>
  </si>
  <si>
    <t>031-467-6114</t>
  </si>
  <si>
    <t>https://www.noroopaint.com</t>
  </si>
  <si>
    <t>노루 전제품</t>
  </si>
  <si>
    <t>https://www.paintsarang.co.kr</t>
  </si>
  <si>
    <t>방수재 세트</t>
  </si>
  <si>
    <t>새현산업</t>
  </si>
  <si>
    <t>https://shcnc.kr</t>
  </si>
  <si>
    <t>보수보강 자재</t>
  </si>
  <si>
    <t>https://www.speedmall.co.kr</t>
  </si>
  <si>
    <t>산업용 자재</t>
  </si>
  <si>
    <t>※ 추천단가: 아이디마켓 판매가(+15%)와 웹 최저가의 중간값 (적정가). 둔 중 하나만 있으면 해당 값 기준. 수식 자동계산.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</si>
</sst>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D6E4F0"/>
      </patternFill>
    </fill>
    <fill>
      <patternFill patternType="solid">
        <fgColor rgb="FFCDD8E6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 vertical="center"/>
    </xf>
    <xf numFmtId="3" fontId="2" fillId="7" borderId="1" xfId="0" applyNumberFormat="1" applyFont="1" applyFill="1" applyBorder="1" applyAlignment="1">
      <alignment horizontal="right"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4D9F97-3E57-4E3C-BECD-E6D6C6B6D595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opLeftCell="A11" zoomScale="70" zoomScaleNormal="70" workbookViewId="0">
      <selection activeCell="F4" sqref="F4"/>
    </sheetView>
  </sheetViews>
  <sheetFormatPr defaultRowHeight="17.399999999999999" x14ac:dyDescent="0.4"/>
  <cols>
    <col min="1" max="1" width="5" customWidth="1"/>
    <col min="2" max="2" width="12" customWidth="1"/>
    <col min="3" max="3" width="34" customWidth="1"/>
    <col min="4" max="4" width="18" customWidth="1"/>
    <col min="5" max="5" width="6" customWidth="1"/>
    <col min="6" max="7" width="14" customWidth="1"/>
    <col min="8" max="8" width="12" customWidth="1"/>
    <col min="9" max="9" width="14" customWidth="1"/>
    <col min="10" max="10" width="12" customWidth="1"/>
    <col min="11" max="11" width="14" customWidth="1"/>
    <col min="12" max="12" width="12" customWidth="1"/>
    <col min="13" max="14" width="14" customWidth="1"/>
    <col min="15" max="15" width="30" customWidth="1"/>
    <col min="16" max="16" width="18" customWidth="1"/>
    <col min="17" max="17" width="15.796875" customWidth="1"/>
    <col min="18" max="18" width="30" customWidth="1"/>
  </cols>
  <sheetData>
    <row r="1" spans="1:16" ht="46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</row>
    <row r="2" spans="1:16" x14ac:dyDescent="0.4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64000</v>
      </c>
      <c r="G2" s="4">
        <v>73600</v>
      </c>
      <c r="H2" s="5">
        <v>74000</v>
      </c>
      <c r="I2" s="2" t="s">
        <v>20</v>
      </c>
      <c r="J2" s="6">
        <v>85000</v>
      </c>
      <c r="K2" s="2" t="s">
        <v>21</v>
      </c>
      <c r="L2" s="7">
        <v>105000</v>
      </c>
      <c r="M2" s="2" t="s">
        <v>22</v>
      </c>
      <c r="N2" s="8">
        <f>IF(AND(G2="-",H2="-",J2="-",L2="-"),"-",IF(AND(G2&lt;&gt;"-",OR(H2&lt;&gt;"-",J2&lt;&gt;"-",L2&lt;&gt;"-")),ROUND((G2+MIN(IF(H2&lt;&gt;"-",H2,9999999),IF(J2&lt;&gt;"-",J2,9999999),IF(L2&lt;&gt;"-",L2,9999999)))/2,-2),IF(G2&lt;&gt;"-",G2,MIN(IF(H2&lt;&gt;"-",H2,9999999),IF(J2&lt;&gt;"-",J2,9999999),IF(L2&lt;&gt;"-",L2,9999999)))))</f>
        <v>73800</v>
      </c>
      <c r="O2" s="2" t="str">
        <f>IF(N2="-","",IF(AND(G2&lt;&gt;"-",OR(H2&lt;&gt;"-",J2&lt;&gt;"-",L2&lt;&gt;"-")),"적정가 (IDM "&amp;TEXT(G2,"#,##0")&amp;" ~ 웹 "&amp;TEXT(MIN(IF(H2&lt;&gt;"-",H2,9999999),IF(J2&lt;&gt;"-",J2,9999999),IF(L2&lt;&gt;"-",L2,9999999)),"#,##0")&amp;")",IF(G2&lt;&gt;"-","아이디마켓 기준","웹최저 "&amp;TEXT(MIN(IF(H2&lt;&gt;"-",H2,9999999),IF(J2&lt;&gt;"-",J2,9999999),IF(L2&lt;&gt;"-",L2,9999999)),"#,##0"))))</f>
        <v>적정가 (IDM 73,600 ~ 웹 74,000)</v>
      </c>
      <c r="P2" s="11" t="s">
        <v>23</v>
      </c>
    </row>
    <row r="3" spans="1:16" x14ac:dyDescent="0.4">
      <c r="A3" s="2">
        <v>2</v>
      </c>
      <c r="B3" s="2" t="s">
        <v>16</v>
      </c>
      <c r="C3" s="2" t="s">
        <v>24</v>
      </c>
      <c r="D3" s="2" t="s">
        <v>18</v>
      </c>
      <c r="E3" s="2" t="s">
        <v>19</v>
      </c>
      <c r="F3" s="3">
        <v>60000</v>
      </c>
      <c r="G3" s="4">
        <v>69000</v>
      </c>
      <c r="H3" s="5">
        <v>78800</v>
      </c>
      <c r="I3" s="2" t="s">
        <v>20</v>
      </c>
      <c r="J3" s="2" t="s">
        <v>25</v>
      </c>
      <c r="K3" s="2" t="s">
        <v>25</v>
      </c>
      <c r="L3" s="2" t="s">
        <v>25</v>
      </c>
      <c r="M3" s="2" t="s">
        <v>25</v>
      </c>
      <c r="N3" s="8">
        <f t="shared" ref="N3:N23" si="0">IF(AND(G3="-",H3="-",J3="-",L3="-"),"-",IF(AND(G3&lt;&gt;"-",OR(H3&lt;&gt;"-",J3&lt;&gt;"-",L3&lt;&gt;"-")),ROUND((G3+MIN(IF(H3&lt;&gt;"-",H3,9999999),IF(J3&lt;&gt;"-",J3,9999999),IF(L3&lt;&gt;"-",L3,9999999)))/2,-2),IF(G3&lt;&gt;"-",G3,MIN(IF(H3&lt;&gt;"-",H3,9999999),IF(J3&lt;&gt;"-",J3,9999999),IF(L3&lt;&gt;"-",L3,9999999)))))</f>
        <v>73900</v>
      </c>
      <c r="O3" s="2" t="str">
        <f t="shared" ref="O3:O23" si="1">IF(N3="-","",IF(AND(G3&lt;&gt;"-",OR(H3&lt;&gt;"-",J3&lt;&gt;"-",L3&lt;&gt;"-")),"적정가 (IDM "&amp;TEXT(G3,"#,##0")&amp;" ~ 웹 "&amp;TEXT(MIN(IF(H3&lt;&gt;"-",H3,9999999),IF(J3&lt;&gt;"-",J3,9999999),IF(L3&lt;&gt;"-",L3,9999999)),"#,##0")&amp;")",IF(G3&lt;&gt;"-","아이디마켓 기준","웹최저 "&amp;TEXT(MIN(IF(H3&lt;&gt;"-",H3,9999999),IF(J3&lt;&gt;"-",J3,9999999),IF(L3&lt;&gt;"-",L3,9999999)),"#,##0"))))</f>
        <v>적정가 (IDM 69,000 ~ 웹 78,800)</v>
      </c>
      <c r="P3" s="11" t="s">
        <v>26</v>
      </c>
    </row>
    <row r="4" spans="1:16" x14ac:dyDescent="0.4">
      <c r="A4" s="2">
        <v>3</v>
      </c>
      <c r="B4" s="2" t="s">
        <v>16</v>
      </c>
      <c r="C4" s="2" t="s">
        <v>27</v>
      </c>
      <c r="D4" s="2" t="s">
        <v>28</v>
      </c>
      <c r="E4" s="2" t="s">
        <v>19</v>
      </c>
      <c r="F4" s="3">
        <v>76000</v>
      </c>
      <c r="G4" s="4">
        <v>87400</v>
      </c>
      <c r="H4" s="5">
        <v>85000</v>
      </c>
      <c r="I4" s="2" t="s">
        <v>21</v>
      </c>
      <c r="J4" s="6">
        <v>86900</v>
      </c>
      <c r="K4" s="2" t="s">
        <v>20</v>
      </c>
      <c r="L4" s="7">
        <v>105000</v>
      </c>
      <c r="M4" s="2" t="s">
        <v>29</v>
      </c>
      <c r="N4" s="8">
        <f t="shared" si="0"/>
        <v>86200</v>
      </c>
      <c r="O4" s="2" t="str">
        <f t="shared" si="1"/>
        <v>적정가 (IDM 87,400 ~ 웹 85,000)</v>
      </c>
      <c r="P4" s="11" t="s">
        <v>30</v>
      </c>
    </row>
    <row r="5" spans="1:16" x14ac:dyDescent="0.4">
      <c r="A5" s="2">
        <v>4</v>
      </c>
      <c r="B5" s="2" t="s">
        <v>16</v>
      </c>
      <c r="C5" s="2" t="s">
        <v>31</v>
      </c>
      <c r="D5" s="2" t="s">
        <v>28</v>
      </c>
      <c r="E5" s="2" t="s">
        <v>19</v>
      </c>
      <c r="F5" s="2" t="s">
        <v>25</v>
      </c>
      <c r="G5" s="2" t="s">
        <v>25</v>
      </c>
      <c r="H5" s="5">
        <v>111900</v>
      </c>
      <c r="I5" s="2" t="s">
        <v>20</v>
      </c>
      <c r="J5" s="2" t="s">
        <v>25</v>
      </c>
      <c r="K5" s="2" t="s">
        <v>25</v>
      </c>
      <c r="L5" s="2" t="s">
        <v>25</v>
      </c>
      <c r="M5" s="2" t="s">
        <v>25</v>
      </c>
      <c r="N5" s="8">
        <f t="shared" si="0"/>
        <v>111900</v>
      </c>
      <c r="O5" s="2" t="str">
        <f t="shared" si="1"/>
        <v>웹최저 111,900</v>
      </c>
      <c r="P5" s="11"/>
    </row>
    <row r="6" spans="1:16" x14ac:dyDescent="0.4">
      <c r="A6" s="2">
        <v>5</v>
      </c>
      <c r="B6" s="2" t="s">
        <v>16</v>
      </c>
      <c r="C6" s="2" t="s">
        <v>32</v>
      </c>
      <c r="D6" s="2" t="s">
        <v>28</v>
      </c>
      <c r="E6" s="2" t="s">
        <v>19</v>
      </c>
      <c r="F6" s="2" t="s">
        <v>25</v>
      </c>
      <c r="G6" s="2" t="s">
        <v>25</v>
      </c>
      <c r="H6" s="5">
        <v>116900</v>
      </c>
      <c r="I6" s="2" t="s">
        <v>20</v>
      </c>
      <c r="J6" s="2" t="s">
        <v>25</v>
      </c>
      <c r="K6" s="2" t="s">
        <v>25</v>
      </c>
      <c r="L6" s="2" t="s">
        <v>25</v>
      </c>
      <c r="M6" s="2" t="s">
        <v>25</v>
      </c>
      <c r="N6" s="8">
        <f t="shared" si="0"/>
        <v>116900</v>
      </c>
      <c r="O6" s="2" t="str">
        <f t="shared" si="1"/>
        <v>웹최저 116,900</v>
      </c>
      <c r="P6" s="11"/>
    </row>
    <row r="7" spans="1:16" x14ac:dyDescent="0.4">
      <c r="A7" s="2">
        <v>6</v>
      </c>
      <c r="B7" s="2" t="s">
        <v>16</v>
      </c>
      <c r="C7" s="2" t="s">
        <v>33</v>
      </c>
      <c r="D7" s="2" t="s">
        <v>28</v>
      </c>
      <c r="E7" s="2" t="s">
        <v>19</v>
      </c>
      <c r="F7" s="2" t="s">
        <v>25</v>
      </c>
      <c r="G7" s="2" t="s">
        <v>25</v>
      </c>
      <c r="H7" s="5">
        <v>136900</v>
      </c>
      <c r="I7" s="2" t="s">
        <v>20</v>
      </c>
      <c r="J7" s="2" t="s">
        <v>25</v>
      </c>
      <c r="K7" s="2" t="s">
        <v>25</v>
      </c>
      <c r="L7" s="2" t="s">
        <v>25</v>
      </c>
      <c r="M7" s="2" t="s">
        <v>25</v>
      </c>
      <c r="N7" s="8">
        <f t="shared" si="0"/>
        <v>136900</v>
      </c>
      <c r="O7" s="2" t="str">
        <f t="shared" si="1"/>
        <v>웹최저 136,900</v>
      </c>
      <c r="P7" s="11"/>
    </row>
    <row r="8" spans="1:16" x14ac:dyDescent="0.4">
      <c r="A8" s="2">
        <v>7</v>
      </c>
      <c r="B8" s="2" t="s">
        <v>16</v>
      </c>
      <c r="C8" s="2" t="s">
        <v>34</v>
      </c>
      <c r="D8" s="2" t="s">
        <v>35</v>
      </c>
      <c r="E8" s="2" t="s">
        <v>19</v>
      </c>
      <c r="F8" s="2" t="s">
        <v>25</v>
      </c>
      <c r="G8" s="2" t="s">
        <v>25</v>
      </c>
      <c r="H8" s="5">
        <v>111900</v>
      </c>
      <c r="I8" s="2" t="s">
        <v>20</v>
      </c>
      <c r="J8" s="2" t="s">
        <v>25</v>
      </c>
      <c r="K8" s="2" t="s">
        <v>25</v>
      </c>
      <c r="L8" s="2" t="s">
        <v>25</v>
      </c>
      <c r="M8" s="2" t="s">
        <v>25</v>
      </c>
      <c r="N8" s="8">
        <f t="shared" si="0"/>
        <v>111900</v>
      </c>
      <c r="O8" s="2" t="str">
        <f t="shared" si="1"/>
        <v>웹최저 111,900</v>
      </c>
      <c r="P8" s="11"/>
    </row>
    <row r="9" spans="1:16" x14ac:dyDescent="0.4">
      <c r="A9" s="2">
        <v>8</v>
      </c>
      <c r="B9" s="2" t="s">
        <v>16</v>
      </c>
      <c r="C9" s="2" t="s">
        <v>36</v>
      </c>
      <c r="D9" s="2" t="s">
        <v>37</v>
      </c>
      <c r="E9" s="2" t="s">
        <v>19</v>
      </c>
      <c r="F9" s="3">
        <v>77000</v>
      </c>
      <c r="G9" s="4">
        <v>88600</v>
      </c>
      <c r="H9" s="5">
        <v>148000</v>
      </c>
      <c r="I9" s="2" t="s">
        <v>20</v>
      </c>
      <c r="J9" s="2" t="s">
        <v>25</v>
      </c>
      <c r="K9" s="2" t="s">
        <v>38</v>
      </c>
      <c r="L9" s="2" t="s">
        <v>25</v>
      </c>
      <c r="M9" s="2" t="s">
        <v>25</v>
      </c>
      <c r="N9" s="8">
        <f t="shared" si="0"/>
        <v>118300</v>
      </c>
      <c r="O9" s="2" t="str">
        <f t="shared" si="1"/>
        <v>적정가 (IDM 88,600 ~ 웹 148,000)</v>
      </c>
      <c r="P9" s="11" t="s">
        <v>39</v>
      </c>
    </row>
    <row r="10" spans="1:16" x14ac:dyDescent="0.4">
      <c r="A10" s="2">
        <v>9</v>
      </c>
      <c r="B10" s="2" t="s">
        <v>16</v>
      </c>
      <c r="C10" s="2" t="s">
        <v>40</v>
      </c>
      <c r="D10" s="2" t="s">
        <v>41</v>
      </c>
      <c r="E10" s="2" t="s">
        <v>19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8" t="str">
        <f t="shared" si="0"/>
        <v>-</v>
      </c>
      <c r="O10" s="2" t="str">
        <f t="shared" si="1"/>
        <v/>
      </c>
      <c r="P10" s="11" t="s">
        <v>42</v>
      </c>
    </row>
    <row r="11" spans="1:16" x14ac:dyDescent="0.4">
      <c r="A11" s="2">
        <v>10</v>
      </c>
      <c r="B11" s="2" t="s">
        <v>16</v>
      </c>
      <c r="C11" s="2" t="s">
        <v>43</v>
      </c>
      <c r="D11" s="2" t="s">
        <v>44</v>
      </c>
      <c r="E11" s="2" t="s">
        <v>19</v>
      </c>
      <c r="F11" s="2" t="s">
        <v>25</v>
      </c>
      <c r="G11" s="2" t="s">
        <v>25</v>
      </c>
      <c r="H11" s="5">
        <v>165000</v>
      </c>
      <c r="I11" s="2" t="s">
        <v>20</v>
      </c>
      <c r="J11" s="2" t="s">
        <v>25</v>
      </c>
      <c r="K11" s="2" t="s">
        <v>25</v>
      </c>
      <c r="L11" s="2" t="s">
        <v>25</v>
      </c>
      <c r="M11" s="2" t="s">
        <v>25</v>
      </c>
      <c r="N11" s="8">
        <f t="shared" si="0"/>
        <v>165000</v>
      </c>
      <c r="O11" s="2" t="str">
        <f t="shared" si="1"/>
        <v>웹최저 165,000</v>
      </c>
      <c r="P11" s="11" t="s">
        <v>45</v>
      </c>
    </row>
    <row r="12" spans="1:16" x14ac:dyDescent="0.4">
      <c r="A12" s="2">
        <v>11</v>
      </c>
      <c r="B12" s="2" t="s">
        <v>16</v>
      </c>
      <c r="C12" s="2" t="s">
        <v>46</v>
      </c>
      <c r="D12" s="2" t="s">
        <v>47</v>
      </c>
      <c r="E12" s="2" t="s">
        <v>19</v>
      </c>
      <c r="F12" s="3">
        <v>56000</v>
      </c>
      <c r="G12" s="4">
        <v>64400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8">
        <f t="shared" si="0"/>
        <v>64400</v>
      </c>
      <c r="O12" s="2" t="str">
        <f t="shared" si="1"/>
        <v>아이디마켓 기준</v>
      </c>
      <c r="P12" s="11" t="s">
        <v>48</v>
      </c>
    </row>
    <row r="13" spans="1:16" x14ac:dyDescent="0.4">
      <c r="A13" s="2">
        <v>12</v>
      </c>
      <c r="B13" s="2" t="s">
        <v>16</v>
      </c>
      <c r="C13" s="2" t="s">
        <v>49</v>
      </c>
      <c r="D13" s="2" t="s">
        <v>47</v>
      </c>
      <c r="E13" s="2" t="s">
        <v>19</v>
      </c>
      <c r="F13" s="3">
        <v>47000</v>
      </c>
      <c r="G13" s="4">
        <v>54100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8">
        <f t="shared" si="0"/>
        <v>54100</v>
      </c>
      <c r="O13" s="2" t="str">
        <f t="shared" si="1"/>
        <v>아이디마켓 기준</v>
      </c>
      <c r="P13" s="11" t="s">
        <v>48</v>
      </c>
    </row>
    <row r="14" spans="1:16" x14ac:dyDescent="0.4">
      <c r="A14" s="2">
        <v>13</v>
      </c>
      <c r="B14" s="2" t="s">
        <v>16</v>
      </c>
      <c r="C14" s="2" t="s">
        <v>50</v>
      </c>
      <c r="D14" s="2" t="s">
        <v>47</v>
      </c>
      <c r="E14" s="2" t="s">
        <v>19</v>
      </c>
      <c r="F14" s="3">
        <v>48000</v>
      </c>
      <c r="G14" s="4">
        <v>55200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8">
        <f t="shared" si="0"/>
        <v>55200</v>
      </c>
      <c r="O14" s="2" t="str">
        <f t="shared" si="1"/>
        <v>아이디마켓 기준</v>
      </c>
      <c r="P14" s="11" t="s">
        <v>48</v>
      </c>
    </row>
    <row r="15" spans="1:16" x14ac:dyDescent="0.4">
      <c r="A15" s="2">
        <v>14</v>
      </c>
      <c r="B15" s="2" t="s">
        <v>16</v>
      </c>
      <c r="C15" s="2" t="s">
        <v>51</v>
      </c>
      <c r="D15" s="2" t="s">
        <v>47</v>
      </c>
      <c r="E15" s="2" t="s">
        <v>19</v>
      </c>
      <c r="F15" s="3">
        <v>44000</v>
      </c>
      <c r="G15" s="4">
        <v>50600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8">
        <f t="shared" si="0"/>
        <v>50600</v>
      </c>
      <c r="O15" s="2" t="str">
        <f t="shared" si="1"/>
        <v>아이디마켓 기준</v>
      </c>
      <c r="P15" s="11" t="s">
        <v>48</v>
      </c>
    </row>
    <row r="16" spans="1:16" x14ac:dyDescent="0.4">
      <c r="A16" s="2">
        <v>15</v>
      </c>
      <c r="B16" s="2" t="s">
        <v>16</v>
      </c>
      <c r="C16" s="2" t="s">
        <v>52</v>
      </c>
      <c r="D16" s="2" t="s">
        <v>47</v>
      </c>
      <c r="E16" s="2" t="s">
        <v>19</v>
      </c>
      <c r="F16" s="3">
        <v>80000</v>
      </c>
      <c r="G16" s="4">
        <v>92000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8">
        <f t="shared" si="0"/>
        <v>92000</v>
      </c>
      <c r="O16" s="2" t="str">
        <f t="shared" si="1"/>
        <v>아이디마켓 기준</v>
      </c>
      <c r="P16" s="11" t="s">
        <v>48</v>
      </c>
    </row>
    <row r="17" spans="1:16" x14ac:dyDescent="0.4">
      <c r="A17" s="2">
        <v>16</v>
      </c>
      <c r="B17" s="2" t="s">
        <v>16</v>
      </c>
      <c r="C17" s="2" t="s">
        <v>53</v>
      </c>
      <c r="D17" s="2" t="s">
        <v>47</v>
      </c>
      <c r="E17" s="2" t="s">
        <v>19</v>
      </c>
      <c r="F17" s="3">
        <v>95000</v>
      </c>
      <c r="G17" s="4">
        <v>109300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8">
        <f t="shared" si="0"/>
        <v>109300</v>
      </c>
      <c r="O17" s="2" t="str">
        <f t="shared" si="1"/>
        <v>아이디마켓 기준</v>
      </c>
      <c r="P17" s="11" t="s">
        <v>54</v>
      </c>
    </row>
    <row r="18" spans="1:16" x14ac:dyDescent="0.4">
      <c r="A18" s="2">
        <v>17</v>
      </c>
      <c r="B18" s="2" t="s">
        <v>16</v>
      </c>
      <c r="C18" s="2" t="s">
        <v>55</v>
      </c>
      <c r="D18" s="2" t="s">
        <v>47</v>
      </c>
      <c r="E18" s="2" t="s">
        <v>19</v>
      </c>
      <c r="F18" s="3">
        <v>95000</v>
      </c>
      <c r="G18" s="4">
        <v>109300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8">
        <f t="shared" si="0"/>
        <v>109300</v>
      </c>
      <c r="O18" s="2" t="str">
        <f t="shared" si="1"/>
        <v>아이디마켓 기준</v>
      </c>
      <c r="P18" s="11" t="s">
        <v>54</v>
      </c>
    </row>
    <row r="19" spans="1:16" x14ac:dyDescent="0.4">
      <c r="A19" s="2">
        <v>18</v>
      </c>
      <c r="B19" s="2" t="s">
        <v>56</v>
      </c>
      <c r="C19" s="2" t="s">
        <v>57</v>
      </c>
      <c r="D19" s="2" t="s">
        <v>18</v>
      </c>
      <c r="E19" s="2" t="s">
        <v>19</v>
      </c>
      <c r="F19" s="2" t="s">
        <v>25</v>
      </c>
      <c r="G19" s="2" t="s">
        <v>25</v>
      </c>
      <c r="H19" s="5">
        <v>75000</v>
      </c>
      <c r="I19" s="2" t="s">
        <v>20</v>
      </c>
      <c r="J19" s="6">
        <v>91000</v>
      </c>
      <c r="K19" s="2" t="s">
        <v>58</v>
      </c>
      <c r="L19" s="7">
        <v>98000</v>
      </c>
      <c r="M19" s="2" t="s">
        <v>59</v>
      </c>
      <c r="N19" s="8">
        <f t="shared" si="0"/>
        <v>75000</v>
      </c>
      <c r="O19" s="2" t="str">
        <f t="shared" si="1"/>
        <v>웹최저 75,000</v>
      </c>
      <c r="P19" s="11" t="s">
        <v>23</v>
      </c>
    </row>
    <row r="20" spans="1:16" x14ac:dyDescent="0.4">
      <c r="A20" s="2">
        <v>19</v>
      </c>
      <c r="B20" s="2" t="s">
        <v>56</v>
      </c>
      <c r="C20" s="2" t="s">
        <v>60</v>
      </c>
      <c r="D20" s="2" t="s">
        <v>28</v>
      </c>
      <c r="E20" s="2" t="s">
        <v>19</v>
      </c>
      <c r="F20" s="2" t="s">
        <v>25</v>
      </c>
      <c r="G20" s="2" t="s">
        <v>25</v>
      </c>
      <c r="H20" s="5">
        <v>98000</v>
      </c>
      <c r="I20" s="2" t="s">
        <v>20</v>
      </c>
      <c r="J20" s="6">
        <v>99000</v>
      </c>
      <c r="K20" s="2" t="s">
        <v>58</v>
      </c>
      <c r="L20" s="7">
        <v>111000</v>
      </c>
      <c r="M20" s="2" t="s">
        <v>58</v>
      </c>
      <c r="N20" s="8">
        <f t="shared" si="0"/>
        <v>98000</v>
      </c>
      <c r="O20" s="2" t="str">
        <f t="shared" si="1"/>
        <v>웹최저 98,000</v>
      </c>
      <c r="P20" s="11" t="s">
        <v>30</v>
      </c>
    </row>
    <row r="21" spans="1:16" x14ac:dyDescent="0.4">
      <c r="A21" s="2">
        <v>20</v>
      </c>
      <c r="B21" s="2" t="s">
        <v>56</v>
      </c>
      <c r="C21" s="2" t="s">
        <v>61</v>
      </c>
      <c r="D21" s="2" t="s">
        <v>62</v>
      </c>
      <c r="E21" s="2" t="s">
        <v>19</v>
      </c>
      <c r="F21" s="2" t="s">
        <v>25</v>
      </c>
      <c r="G21" s="2" t="s">
        <v>25</v>
      </c>
      <c r="H21" s="5">
        <v>91000</v>
      </c>
      <c r="I21" s="2" t="s">
        <v>20</v>
      </c>
      <c r="J21" s="6">
        <v>116000</v>
      </c>
      <c r="K21" s="2" t="s">
        <v>58</v>
      </c>
      <c r="L21" s="7">
        <v>127000</v>
      </c>
      <c r="M21" s="2" t="s">
        <v>58</v>
      </c>
      <c r="N21" s="8">
        <f t="shared" si="0"/>
        <v>91000</v>
      </c>
      <c r="O21" s="2" t="str">
        <f t="shared" si="1"/>
        <v>웹최저 91,000</v>
      </c>
      <c r="P21" s="11" t="s">
        <v>63</v>
      </c>
    </row>
    <row r="22" spans="1:16" x14ac:dyDescent="0.4">
      <c r="A22" s="2">
        <v>21</v>
      </c>
      <c r="B22" s="2" t="s">
        <v>56</v>
      </c>
      <c r="C22" s="2" t="s">
        <v>64</v>
      </c>
      <c r="D22" s="2" t="s">
        <v>65</v>
      </c>
      <c r="E22" s="2" t="s">
        <v>19</v>
      </c>
      <c r="F22" s="2" t="s">
        <v>25</v>
      </c>
      <c r="G22" s="2" t="s">
        <v>25</v>
      </c>
      <c r="H22" s="5">
        <v>206940</v>
      </c>
      <c r="I22" s="2" t="s">
        <v>66</v>
      </c>
      <c r="J22" s="2" t="s">
        <v>25</v>
      </c>
      <c r="K22" s="2" t="s">
        <v>25</v>
      </c>
      <c r="L22" s="2" t="s">
        <v>25</v>
      </c>
      <c r="M22" s="2" t="s">
        <v>25</v>
      </c>
      <c r="N22" s="8">
        <f t="shared" si="0"/>
        <v>206940</v>
      </c>
      <c r="O22" s="2" t="str">
        <f t="shared" si="1"/>
        <v>웹최저 206,940</v>
      </c>
      <c r="P22" s="11" t="s">
        <v>67</v>
      </c>
    </row>
    <row r="23" spans="1:16" x14ac:dyDescent="0.4">
      <c r="A23" s="2">
        <v>22</v>
      </c>
      <c r="B23" s="2" t="s">
        <v>56</v>
      </c>
      <c r="C23" s="2" t="s">
        <v>68</v>
      </c>
      <c r="D23" s="2" t="s">
        <v>69</v>
      </c>
      <c r="E23" s="2" t="s">
        <v>19</v>
      </c>
      <c r="F23" s="2" t="s">
        <v>25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8" t="str">
        <f t="shared" si="0"/>
        <v>-</v>
      </c>
      <c r="O23" s="2" t="str">
        <f t="shared" si="1"/>
        <v/>
      </c>
      <c r="P23" s="11" t="s">
        <v>42</v>
      </c>
    </row>
    <row r="24" spans="1:16" x14ac:dyDescent="0.4">
      <c r="A24" s="2">
        <v>23</v>
      </c>
      <c r="B24" s="2" t="s">
        <v>56</v>
      </c>
      <c r="C24" s="2" t="s">
        <v>70</v>
      </c>
      <c r="D24" s="2" t="s">
        <v>28</v>
      </c>
      <c r="E24" s="2" t="s">
        <v>19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/>
      <c r="P24" s="2" t="s">
        <v>71</v>
      </c>
    </row>
    <row r="26" spans="1:16" x14ac:dyDescent="0.4">
      <c r="A26" s="9" t="s">
        <v>72</v>
      </c>
    </row>
    <row r="27" spans="1:16" x14ac:dyDescent="0.4">
      <c r="A27" s="9" t="s">
        <v>168</v>
      </c>
    </row>
    <row r="28" spans="1:16" x14ac:dyDescent="0.4">
      <c r="A28" s="9" t="s">
        <v>74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zoomScale="70" zoomScaleNormal="70" workbookViewId="0">
      <selection activeCell="A23" sqref="A23"/>
    </sheetView>
  </sheetViews>
  <sheetFormatPr defaultRowHeight="17.399999999999999" x14ac:dyDescent="0.4"/>
  <cols>
    <col min="1" max="1" width="5" customWidth="1"/>
    <col min="2" max="2" width="12" customWidth="1"/>
    <col min="3" max="3" width="34" customWidth="1"/>
    <col min="4" max="4" width="18" customWidth="1"/>
    <col min="5" max="5" width="6" customWidth="1"/>
    <col min="6" max="7" width="14" customWidth="1"/>
    <col min="8" max="8" width="12" customWidth="1"/>
    <col min="9" max="9" width="14" customWidth="1"/>
    <col min="10" max="10" width="12" customWidth="1"/>
    <col min="11" max="11" width="14" customWidth="1"/>
    <col min="12" max="12" width="12" customWidth="1"/>
    <col min="13" max="14" width="14" customWidth="1"/>
    <col min="15" max="15" width="30" customWidth="1"/>
    <col min="16" max="16" width="18" customWidth="1"/>
    <col min="17" max="17" width="15.796875" customWidth="1"/>
    <col min="18" max="18" width="30" customWidth="1"/>
  </cols>
  <sheetData>
    <row r="1" spans="1:16" ht="46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</row>
    <row r="2" spans="1:16" x14ac:dyDescent="0.4">
      <c r="A2" s="2">
        <v>1</v>
      </c>
      <c r="B2" s="2" t="s">
        <v>16</v>
      </c>
      <c r="C2" s="2" t="s">
        <v>75</v>
      </c>
      <c r="D2" s="2" t="s">
        <v>76</v>
      </c>
      <c r="E2" s="2" t="s">
        <v>19</v>
      </c>
      <c r="F2" s="3">
        <v>53000</v>
      </c>
      <c r="G2" s="4">
        <v>61000</v>
      </c>
      <c r="H2" s="5">
        <v>63620</v>
      </c>
      <c r="I2" s="2" t="s">
        <v>77</v>
      </c>
      <c r="J2" s="6">
        <v>65000</v>
      </c>
      <c r="K2" s="2" t="s">
        <v>20</v>
      </c>
      <c r="L2" s="7">
        <v>76000</v>
      </c>
      <c r="M2" s="2" t="s">
        <v>21</v>
      </c>
      <c r="N2" s="8">
        <f>IF(AND(G2="-",H2="-",J2="-",L2="-"),"-",IF(AND(G2&lt;&gt;"-",OR(H2&lt;&gt;"-",J2&lt;&gt;"-",L2&lt;&gt;"-")),ROUND((G2+MIN(IF(H2&lt;&gt;"-",H2,9999999),IF(J2&lt;&gt;"-",J2,9999999),IF(L2&lt;&gt;"-",L2,9999999)))/2,-2),IF(G2&lt;&gt;"-",G2,MIN(IF(H2&lt;&gt;"-",H2,9999999),IF(J2&lt;&gt;"-",J2,9999999),IF(L2&lt;&gt;"-",L2,9999999)))))</f>
        <v>62300</v>
      </c>
      <c r="O2" s="2" t="str">
        <f>IF(N2="-","",IF(AND(G2&lt;&gt;"-",OR(H2&lt;&gt;"-",J2&lt;&gt;"-",L2&lt;&gt;"-")),"적정가 (IDM "&amp;TEXT(G2,"#,##0")&amp;" ~ 웹 "&amp;TEXT(MIN(IF(H2&lt;&gt;"-",H2,9999999),IF(J2&lt;&gt;"-",J2,9999999),IF(L2&lt;&gt;"-",L2,9999999)),"#,##0")&amp;")",IF(G2&lt;&gt;"-","아이디마켓 기준","웹최저 "&amp;TEXT(MIN(IF(H2&lt;&gt;"-",H2,9999999),IF(J2&lt;&gt;"-",J2,9999999),IF(L2&lt;&gt;"-",L2,9999999)),"#,##0"))))</f>
        <v>적정가 (IDM 61,000 ~ 웹 63,620)</v>
      </c>
      <c r="P2" s="11"/>
    </row>
    <row r="3" spans="1:16" x14ac:dyDescent="0.4">
      <c r="A3" s="2">
        <v>2</v>
      </c>
      <c r="B3" s="2" t="s">
        <v>16</v>
      </c>
      <c r="C3" s="2" t="s">
        <v>78</v>
      </c>
      <c r="D3" s="2" t="s">
        <v>79</v>
      </c>
      <c r="E3" s="2" t="s">
        <v>19</v>
      </c>
      <c r="F3" s="3">
        <v>52000</v>
      </c>
      <c r="G3" s="4">
        <v>59800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8">
        <f t="shared" ref="N3:N19" si="0">IF(AND(G3="-",H3="-",J3="-",L3="-"),"-",IF(AND(G3&lt;&gt;"-",OR(H3&lt;&gt;"-",J3&lt;&gt;"-",L3&lt;&gt;"-")),ROUND((G3+MIN(IF(H3&lt;&gt;"-",H3,9999999),IF(J3&lt;&gt;"-",J3,9999999),IF(L3&lt;&gt;"-",L3,9999999)))/2,-2),IF(G3&lt;&gt;"-",G3,MIN(IF(H3&lt;&gt;"-",H3,9999999),IF(J3&lt;&gt;"-",J3,9999999),IF(L3&lt;&gt;"-",L3,9999999)))))</f>
        <v>59800</v>
      </c>
      <c r="O3" s="2" t="str">
        <f t="shared" ref="O3:O19" si="1">IF(N3="-","",IF(AND(G3&lt;&gt;"-",OR(H3&lt;&gt;"-",J3&lt;&gt;"-",L3&lt;&gt;"-")),"적정가 (IDM "&amp;TEXT(G3,"#,##0")&amp;" ~ 웹 "&amp;TEXT(MIN(IF(H3&lt;&gt;"-",H3,9999999),IF(J3&lt;&gt;"-",J3,9999999),IF(L3&lt;&gt;"-",L3,9999999)),"#,##0")&amp;")",IF(G3&lt;&gt;"-","아이디마켓 기준","웹최저 "&amp;TEXT(MIN(IF(H3&lt;&gt;"-",H3,9999999),IF(J3&lt;&gt;"-",J3,9999999),IF(L3&lt;&gt;"-",L3,9999999)),"#,##0"))))</f>
        <v>아이디마켓 기준</v>
      </c>
      <c r="P3" s="11"/>
    </row>
    <row r="4" spans="1:16" x14ac:dyDescent="0.4">
      <c r="A4" s="2">
        <v>3</v>
      </c>
      <c r="B4" s="2" t="s">
        <v>16</v>
      </c>
      <c r="C4" s="2" t="s">
        <v>80</v>
      </c>
      <c r="D4" s="2" t="s">
        <v>79</v>
      </c>
      <c r="E4" s="2" t="s">
        <v>19</v>
      </c>
      <c r="F4" s="3">
        <v>49000</v>
      </c>
      <c r="G4" s="4">
        <v>56400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8">
        <f t="shared" si="0"/>
        <v>56400</v>
      </c>
      <c r="O4" s="2" t="str">
        <f t="shared" si="1"/>
        <v>아이디마켓 기준</v>
      </c>
      <c r="P4" s="11"/>
    </row>
    <row r="5" spans="1:16" x14ac:dyDescent="0.4">
      <c r="A5" s="2">
        <v>4</v>
      </c>
      <c r="B5" s="2" t="s">
        <v>16</v>
      </c>
      <c r="C5" s="2" t="s">
        <v>81</v>
      </c>
      <c r="D5" s="2" t="s">
        <v>76</v>
      </c>
      <c r="E5" s="2" t="s">
        <v>19</v>
      </c>
      <c r="F5" s="3">
        <v>80000</v>
      </c>
      <c r="G5" s="4">
        <v>92000</v>
      </c>
      <c r="H5" s="5">
        <v>103900</v>
      </c>
      <c r="I5" s="2" t="s">
        <v>82</v>
      </c>
      <c r="J5" s="6">
        <v>117900</v>
      </c>
      <c r="K5" s="2" t="s">
        <v>83</v>
      </c>
      <c r="L5" s="7">
        <v>114990</v>
      </c>
      <c r="M5" s="2" t="s">
        <v>84</v>
      </c>
      <c r="N5" s="8">
        <f t="shared" si="0"/>
        <v>98000</v>
      </c>
      <c r="O5" s="2" t="str">
        <f t="shared" si="1"/>
        <v>적정가 (IDM 92,000 ~ 웹 103,900)</v>
      </c>
      <c r="P5" s="11"/>
    </row>
    <row r="6" spans="1:16" x14ac:dyDescent="0.4">
      <c r="A6" s="2">
        <v>5</v>
      </c>
      <c r="B6" s="2" t="s">
        <v>16</v>
      </c>
      <c r="C6" s="2" t="s">
        <v>85</v>
      </c>
      <c r="D6" s="2" t="s">
        <v>79</v>
      </c>
      <c r="E6" s="2" t="s">
        <v>19</v>
      </c>
      <c r="F6" s="3">
        <v>56000</v>
      </c>
      <c r="G6" s="4">
        <v>64400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8">
        <f t="shared" si="0"/>
        <v>64400</v>
      </c>
      <c r="O6" s="2" t="str">
        <f t="shared" si="1"/>
        <v>아이디마켓 기준</v>
      </c>
      <c r="P6" s="11"/>
    </row>
    <row r="7" spans="1:16" x14ac:dyDescent="0.4">
      <c r="A7" s="2">
        <v>6</v>
      </c>
      <c r="B7" s="2" t="s">
        <v>16</v>
      </c>
      <c r="C7" s="2" t="s">
        <v>86</v>
      </c>
      <c r="D7" s="2" t="s">
        <v>62</v>
      </c>
      <c r="E7" s="2" t="s">
        <v>19</v>
      </c>
      <c r="F7" s="3">
        <v>52800</v>
      </c>
      <c r="G7" s="4">
        <v>60800</v>
      </c>
      <c r="H7" s="2" t="s">
        <v>25</v>
      </c>
      <c r="I7" s="2" t="s">
        <v>25</v>
      </c>
      <c r="J7" s="2" t="s">
        <v>25</v>
      </c>
      <c r="K7" s="2" t="s">
        <v>25</v>
      </c>
      <c r="L7" s="2" t="s">
        <v>25</v>
      </c>
      <c r="M7" s="2" t="s">
        <v>25</v>
      </c>
      <c r="N7" s="8">
        <f t="shared" si="0"/>
        <v>60800</v>
      </c>
      <c r="O7" s="2" t="str">
        <f t="shared" si="1"/>
        <v>아이디마켓 기준</v>
      </c>
      <c r="P7" s="11"/>
    </row>
    <row r="8" spans="1:16" x14ac:dyDescent="0.4">
      <c r="A8" s="2">
        <v>7</v>
      </c>
      <c r="B8" s="2" t="s">
        <v>16</v>
      </c>
      <c r="C8" s="2" t="s">
        <v>87</v>
      </c>
      <c r="D8" s="2" t="s">
        <v>88</v>
      </c>
      <c r="E8" s="2" t="s">
        <v>19</v>
      </c>
      <c r="F8" s="3">
        <v>2240000</v>
      </c>
      <c r="G8" s="4">
        <v>2576000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8">
        <f t="shared" si="0"/>
        <v>2576000</v>
      </c>
      <c r="O8" s="2" t="str">
        <f t="shared" si="1"/>
        <v>아이디마켓 기준</v>
      </c>
      <c r="P8" s="11"/>
    </row>
    <row r="9" spans="1:16" x14ac:dyDescent="0.4">
      <c r="A9" s="2">
        <v>8</v>
      </c>
      <c r="B9" s="2" t="s">
        <v>16</v>
      </c>
      <c r="C9" s="2" t="s">
        <v>89</v>
      </c>
      <c r="D9" s="2" t="s">
        <v>88</v>
      </c>
      <c r="E9" s="2" t="s">
        <v>19</v>
      </c>
      <c r="F9" s="3">
        <v>1920000</v>
      </c>
      <c r="G9" s="4">
        <v>2208000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8">
        <f t="shared" si="0"/>
        <v>2208000</v>
      </c>
      <c r="O9" s="2" t="str">
        <f t="shared" si="1"/>
        <v>아이디마켓 기준</v>
      </c>
      <c r="P9" s="11"/>
    </row>
    <row r="10" spans="1:16" x14ac:dyDescent="0.4">
      <c r="A10" s="2">
        <v>9</v>
      </c>
      <c r="B10" s="2" t="s">
        <v>16</v>
      </c>
      <c r="C10" s="2" t="s">
        <v>90</v>
      </c>
      <c r="D10" s="2" t="s">
        <v>79</v>
      </c>
      <c r="E10" s="2" t="s">
        <v>19</v>
      </c>
      <c r="F10" s="3">
        <v>66000</v>
      </c>
      <c r="G10" s="4">
        <v>75900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8">
        <f t="shared" si="0"/>
        <v>75900</v>
      </c>
      <c r="O10" s="2" t="str">
        <f t="shared" si="1"/>
        <v>아이디마켓 기준</v>
      </c>
      <c r="P10" s="11"/>
    </row>
    <row r="11" spans="1:16" x14ac:dyDescent="0.4">
      <c r="A11" s="2">
        <v>10</v>
      </c>
      <c r="B11" s="2" t="s">
        <v>16</v>
      </c>
      <c r="C11" s="2" t="s">
        <v>91</v>
      </c>
      <c r="D11" s="2" t="s">
        <v>79</v>
      </c>
      <c r="E11" s="2" t="s">
        <v>19</v>
      </c>
      <c r="F11" s="3">
        <v>70000</v>
      </c>
      <c r="G11" s="4">
        <v>80500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8">
        <f t="shared" si="0"/>
        <v>80500</v>
      </c>
      <c r="O11" s="2" t="str">
        <f t="shared" si="1"/>
        <v>아이디마켓 기준</v>
      </c>
      <c r="P11" s="11"/>
    </row>
    <row r="12" spans="1:16" x14ac:dyDescent="0.4">
      <c r="A12" s="2">
        <v>11</v>
      </c>
      <c r="B12" s="2" t="s">
        <v>16</v>
      </c>
      <c r="C12" s="2" t="s">
        <v>92</v>
      </c>
      <c r="D12" s="2" t="s">
        <v>93</v>
      </c>
      <c r="E12" s="2" t="s">
        <v>19</v>
      </c>
      <c r="F12" s="3">
        <v>88000</v>
      </c>
      <c r="G12" s="4">
        <v>101200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8">
        <f t="shared" si="0"/>
        <v>101200</v>
      </c>
      <c r="O12" s="2" t="str">
        <f t="shared" si="1"/>
        <v>아이디마켓 기준</v>
      </c>
      <c r="P12" s="11"/>
    </row>
    <row r="13" spans="1:16" x14ac:dyDescent="0.4">
      <c r="A13" s="2">
        <v>12</v>
      </c>
      <c r="B13" s="2" t="s">
        <v>16</v>
      </c>
      <c r="C13" s="2" t="s">
        <v>94</v>
      </c>
      <c r="D13" s="2" t="s">
        <v>79</v>
      </c>
      <c r="E13" s="2" t="s">
        <v>19</v>
      </c>
      <c r="F13" s="3">
        <v>76000</v>
      </c>
      <c r="G13" s="4">
        <v>87400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8">
        <f t="shared" si="0"/>
        <v>87400</v>
      </c>
      <c r="O13" s="2" t="str">
        <f t="shared" si="1"/>
        <v>아이디마켓 기준</v>
      </c>
      <c r="P13" s="11"/>
    </row>
    <row r="14" spans="1:16" x14ac:dyDescent="0.4">
      <c r="A14" s="2">
        <v>13</v>
      </c>
      <c r="B14" s="2" t="s">
        <v>16</v>
      </c>
      <c r="C14" s="2" t="s">
        <v>95</v>
      </c>
      <c r="D14" s="2" t="s">
        <v>96</v>
      </c>
      <c r="E14" s="2" t="s">
        <v>19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8" t="str">
        <f t="shared" si="0"/>
        <v>-</v>
      </c>
      <c r="O14" s="2" t="str">
        <f t="shared" si="1"/>
        <v/>
      </c>
      <c r="P14" s="11" t="s">
        <v>97</v>
      </c>
    </row>
    <row r="15" spans="1:16" x14ac:dyDescent="0.4">
      <c r="A15" s="2">
        <v>14</v>
      </c>
      <c r="B15" s="2" t="s">
        <v>16</v>
      </c>
      <c r="C15" s="2" t="s">
        <v>98</v>
      </c>
      <c r="D15" s="2" t="s">
        <v>99</v>
      </c>
      <c r="E15" s="2" t="s">
        <v>19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8" t="str">
        <f t="shared" si="0"/>
        <v>-</v>
      </c>
      <c r="O15" s="2" t="str">
        <f t="shared" si="1"/>
        <v/>
      </c>
      <c r="P15" s="11"/>
    </row>
    <row r="16" spans="1:16" x14ac:dyDescent="0.4">
      <c r="A16" s="2">
        <v>15</v>
      </c>
      <c r="B16" s="2" t="s">
        <v>16</v>
      </c>
      <c r="C16" s="2" t="s">
        <v>100</v>
      </c>
      <c r="D16" s="2" t="s">
        <v>101</v>
      </c>
      <c r="E16" s="2" t="s">
        <v>19</v>
      </c>
      <c r="F16" s="2" t="s">
        <v>25</v>
      </c>
      <c r="G16" s="2" t="s">
        <v>25</v>
      </c>
      <c r="H16" s="5">
        <v>44000</v>
      </c>
      <c r="I16" s="2" t="s">
        <v>22</v>
      </c>
      <c r="J16" s="2" t="s">
        <v>25</v>
      </c>
      <c r="K16" s="2" t="s">
        <v>25</v>
      </c>
      <c r="L16" s="2" t="s">
        <v>25</v>
      </c>
      <c r="M16" s="2" t="s">
        <v>25</v>
      </c>
      <c r="N16" s="8">
        <f t="shared" si="0"/>
        <v>44000</v>
      </c>
      <c r="O16" s="2" t="str">
        <f t="shared" si="1"/>
        <v>웹최저 44,000</v>
      </c>
      <c r="P16" s="11"/>
    </row>
    <row r="17" spans="1:16" x14ac:dyDescent="0.4">
      <c r="A17" s="2">
        <v>16</v>
      </c>
      <c r="B17" s="2" t="s">
        <v>16</v>
      </c>
      <c r="C17" s="2" t="s">
        <v>102</v>
      </c>
      <c r="D17" s="2" t="s">
        <v>101</v>
      </c>
      <c r="E17" s="2" t="s">
        <v>19</v>
      </c>
      <c r="F17" s="2" t="s">
        <v>25</v>
      </c>
      <c r="G17" s="2" t="s">
        <v>25</v>
      </c>
      <c r="H17" s="5">
        <v>47000</v>
      </c>
      <c r="I17" s="2" t="s">
        <v>22</v>
      </c>
      <c r="J17" s="2" t="s">
        <v>25</v>
      </c>
      <c r="K17" s="2" t="s">
        <v>25</v>
      </c>
      <c r="L17" s="2" t="s">
        <v>25</v>
      </c>
      <c r="M17" s="2" t="s">
        <v>25</v>
      </c>
      <c r="N17" s="8">
        <f t="shared" si="0"/>
        <v>47000</v>
      </c>
      <c r="O17" s="2" t="str">
        <f t="shared" si="1"/>
        <v>웹최저 47,000</v>
      </c>
      <c r="P17" s="11"/>
    </row>
    <row r="18" spans="1:16" x14ac:dyDescent="0.4">
      <c r="A18" s="2">
        <v>17</v>
      </c>
      <c r="B18" s="2" t="s">
        <v>16</v>
      </c>
      <c r="C18" s="2" t="s">
        <v>103</v>
      </c>
      <c r="D18" s="2" t="s">
        <v>104</v>
      </c>
      <c r="E18" s="2" t="s">
        <v>105</v>
      </c>
      <c r="F18" s="2" t="s">
        <v>25</v>
      </c>
      <c r="G18" s="2" t="s">
        <v>25</v>
      </c>
      <c r="H18" s="5">
        <v>851400</v>
      </c>
      <c r="I18" s="2" t="s">
        <v>106</v>
      </c>
      <c r="J18" s="2" t="s">
        <v>25</v>
      </c>
      <c r="K18" s="2" t="s">
        <v>25</v>
      </c>
      <c r="L18" s="2" t="s">
        <v>25</v>
      </c>
      <c r="M18" s="2" t="s">
        <v>25</v>
      </c>
      <c r="N18" s="8">
        <f t="shared" si="0"/>
        <v>851400</v>
      </c>
      <c r="O18" s="2" t="str">
        <f t="shared" si="1"/>
        <v>웹최저 851,400</v>
      </c>
      <c r="P18" s="11" t="s">
        <v>107</v>
      </c>
    </row>
    <row r="19" spans="1:16" x14ac:dyDescent="0.4">
      <c r="A19" s="2">
        <v>18</v>
      </c>
      <c r="B19" s="2" t="s">
        <v>16</v>
      </c>
      <c r="C19" s="2" t="s">
        <v>108</v>
      </c>
      <c r="D19" s="2" t="s">
        <v>109</v>
      </c>
      <c r="E19" s="2" t="s">
        <v>105</v>
      </c>
      <c r="F19" s="2" t="s">
        <v>25</v>
      </c>
      <c r="G19" s="2" t="s">
        <v>25</v>
      </c>
      <c r="H19" s="5">
        <v>610500</v>
      </c>
      <c r="I19" s="2" t="s">
        <v>106</v>
      </c>
      <c r="J19" s="2" t="s">
        <v>25</v>
      </c>
      <c r="K19" s="2" t="s">
        <v>25</v>
      </c>
      <c r="L19" s="2" t="s">
        <v>25</v>
      </c>
      <c r="M19" s="2" t="s">
        <v>25</v>
      </c>
      <c r="N19" s="8">
        <f t="shared" si="0"/>
        <v>610500</v>
      </c>
      <c r="O19" s="2" t="str">
        <f t="shared" si="1"/>
        <v>웹최저 610,500</v>
      </c>
      <c r="P19" s="11" t="s">
        <v>107</v>
      </c>
    </row>
    <row r="20" spans="1:16" x14ac:dyDescent="0.4">
      <c r="A20" s="2">
        <v>19</v>
      </c>
      <c r="B20" s="2" t="s">
        <v>16</v>
      </c>
      <c r="C20" s="2" t="s">
        <v>110</v>
      </c>
      <c r="D20" s="2" t="s">
        <v>111</v>
      </c>
      <c r="E20" s="2" t="s">
        <v>105</v>
      </c>
      <c r="F20" s="2" t="s">
        <v>25</v>
      </c>
      <c r="G20" s="2" t="s">
        <v>25</v>
      </c>
      <c r="H20" s="5">
        <v>295900</v>
      </c>
      <c r="I20" s="2" t="s">
        <v>106</v>
      </c>
      <c r="J20" s="2" t="s">
        <v>25</v>
      </c>
      <c r="K20" s="2" t="s">
        <v>25</v>
      </c>
      <c r="L20" s="2" t="s">
        <v>25</v>
      </c>
      <c r="M20" s="2" t="s">
        <v>25</v>
      </c>
      <c r="N20" s="8">
        <v>295900</v>
      </c>
      <c r="O20" s="2" t="s">
        <v>112</v>
      </c>
      <c r="P20" s="2" t="s">
        <v>107</v>
      </c>
    </row>
    <row r="22" spans="1:16" x14ac:dyDescent="0.4">
      <c r="A22" s="9" t="s">
        <v>72</v>
      </c>
    </row>
    <row r="23" spans="1:16" x14ac:dyDescent="0.4">
      <c r="A23" s="9" t="s">
        <v>168</v>
      </c>
    </row>
    <row r="24" spans="1:16" x14ac:dyDescent="0.4">
      <c r="A24" s="9" t="s">
        <v>74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tabSelected="1" workbookViewId="0">
      <selection activeCell="D13" sqref="D13"/>
    </sheetView>
  </sheetViews>
  <sheetFormatPr defaultRowHeight="17.399999999999999" x14ac:dyDescent="0.4"/>
  <cols>
    <col min="1" max="1" width="5" customWidth="1"/>
    <col min="2" max="2" width="24" customWidth="1"/>
    <col min="3" max="3" width="10" customWidth="1"/>
    <col min="4" max="4" width="42" customWidth="1"/>
    <col min="5" max="5" width="20" customWidth="1"/>
    <col min="6" max="6" width="16" customWidth="1"/>
    <col min="7" max="7" width="24" customWidth="1"/>
    <col min="8" max="8" width="30" customWidth="1"/>
    <col min="9" max="9" width="18" customWidth="1"/>
    <col min="10" max="10" width="20" customWidth="1"/>
  </cols>
  <sheetData>
    <row r="1" spans="1:10" x14ac:dyDescent="0.4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 spans="1:10" x14ac:dyDescent="0.4">
      <c r="A2" s="2">
        <v>1</v>
      </c>
      <c r="B2" s="2" t="s">
        <v>122</v>
      </c>
      <c r="C2" s="2" t="s">
        <v>25</v>
      </c>
      <c r="D2" s="2" t="s">
        <v>25</v>
      </c>
      <c r="E2" s="2" t="s">
        <v>101</v>
      </c>
      <c r="F2" s="2" t="s">
        <v>25</v>
      </c>
      <c r="G2" s="2" t="s">
        <v>25</v>
      </c>
      <c r="H2" s="2" t="s">
        <v>123</v>
      </c>
      <c r="I2" s="2" t="s">
        <v>25</v>
      </c>
      <c r="J2" s="2" t="s">
        <v>124</v>
      </c>
    </row>
    <row r="3" spans="1:10" x14ac:dyDescent="0.4">
      <c r="A3" s="2">
        <v>2</v>
      </c>
      <c r="B3" s="2" t="s">
        <v>125</v>
      </c>
      <c r="C3" s="2" t="s">
        <v>126</v>
      </c>
      <c r="D3" s="2" t="s">
        <v>127</v>
      </c>
      <c r="E3" s="2" t="s">
        <v>128</v>
      </c>
      <c r="F3" s="2" t="s">
        <v>25</v>
      </c>
      <c r="G3" s="2" t="s">
        <v>129</v>
      </c>
      <c r="H3" s="2" t="s">
        <v>130</v>
      </c>
      <c r="I3" s="2" t="s">
        <v>131</v>
      </c>
      <c r="J3" s="2" t="s">
        <v>132</v>
      </c>
    </row>
    <row r="4" spans="1:10" x14ac:dyDescent="0.4">
      <c r="A4" s="2">
        <v>3</v>
      </c>
      <c r="B4" s="2" t="s">
        <v>133</v>
      </c>
      <c r="C4" s="2" t="s">
        <v>134</v>
      </c>
      <c r="D4" s="2" t="s">
        <v>135</v>
      </c>
      <c r="E4" s="2" t="s">
        <v>136</v>
      </c>
      <c r="F4" s="2" t="s">
        <v>137</v>
      </c>
      <c r="G4" s="2" t="s">
        <v>138</v>
      </c>
      <c r="H4" s="2" t="s">
        <v>139</v>
      </c>
      <c r="I4" s="2" t="s">
        <v>140</v>
      </c>
      <c r="J4" s="2" t="s">
        <v>141</v>
      </c>
    </row>
    <row r="5" spans="1:10" x14ac:dyDescent="0.4">
      <c r="A5" s="2">
        <v>4</v>
      </c>
      <c r="B5" s="2" t="s">
        <v>142</v>
      </c>
      <c r="C5" s="2" t="s">
        <v>143</v>
      </c>
      <c r="D5" s="2" t="s">
        <v>144</v>
      </c>
      <c r="E5" s="2" t="s">
        <v>145</v>
      </c>
      <c r="F5" s="2" t="s">
        <v>25</v>
      </c>
      <c r="G5" s="2" t="s">
        <v>146</v>
      </c>
      <c r="H5" s="2" t="s">
        <v>147</v>
      </c>
      <c r="I5" s="2" t="s">
        <v>148</v>
      </c>
      <c r="J5" s="2" t="s">
        <v>149</v>
      </c>
    </row>
    <row r="6" spans="1:10" x14ac:dyDescent="0.4">
      <c r="A6" s="2">
        <v>5</v>
      </c>
      <c r="B6" s="2" t="s">
        <v>59</v>
      </c>
      <c r="C6" s="2" t="s">
        <v>25</v>
      </c>
      <c r="D6" s="2" t="s">
        <v>25</v>
      </c>
      <c r="E6" s="2" t="s">
        <v>101</v>
      </c>
      <c r="F6" s="2" t="s">
        <v>25</v>
      </c>
      <c r="G6" s="2" t="s">
        <v>25</v>
      </c>
      <c r="H6" s="2" t="s">
        <v>150</v>
      </c>
      <c r="I6" s="2" t="s">
        <v>25</v>
      </c>
      <c r="J6" s="2" t="s">
        <v>151</v>
      </c>
    </row>
    <row r="7" spans="1:10" x14ac:dyDescent="0.4">
      <c r="A7" s="2">
        <v>6</v>
      </c>
      <c r="B7" s="2" t="s">
        <v>152</v>
      </c>
      <c r="C7" s="2" t="s">
        <v>25</v>
      </c>
      <c r="D7" s="2" t="s">
        <v>25</v>
      </c>
      <c r="E7" s="2" t="s">
        <v>153</v>
      </c>
      <c r="F7" s="2" t="s">
        <v>25</v>
      </c>
      <c r="G7" s="2" t="s">
        <v>25</v>
      </c>
      <c r="H7" s="2" t="s">
        <v>154</v>
      </c>
      <c r="I7" s="2" t="s">
        <v>25</v>
      </c>
      <c r="J7" s="2" t="s">
        <v>155</v>
      </c>
    </row>
    <row r="8" spans="1:10" x14ac:dyDescent="0.4">
      <c r="A8" s="2">
        <v>7</v>
      </c>
      <c r="B8" s="2" t="s">
        <v>156</v>
      </c>
      <c r="C8" s="2" t="s">
        <v>25</v>
      </c>
      <c r="D8" s="2" t="s">
        <v>157</v>
      </c>
      <c r="E8" s="2" t="s">
        <v>158</v>
      </c>
      <c r="F8" s="2" t="s">
        <v>25</v>
      </c>
      <c r="G8" s="2" t="s">
        <v>25</v>
      </c>
      <c r="H8" s="2" t="s">
        <v>159</v>
      </c>
      <c r="I8" s="2" t="s">
        <v>25</v>
      </c>
      <c r="J8" s="2" t="s">
        <v>160</v>
      </c>
    </row>
    <row r="9" spans="1:10" x14ac:dyDescent="0.4">
      <c r="A9" s="2">
        <v>8</v>
      </c>
      <c r="B9" s="2" t="s">
        <v>106</v>
      </c>
      <c r="C9" s="2" t="s">
        <v>25</v>
      </c>
      <c r="D9" s="2" t="s">
        <v>25</v>
      </c>
      <c r="E9" s="2" t="s">
        <v>101</v>
      </c>
      <c r="F9" s="2" t="s">
        <v>25</v>
      </c>
      <c r="G9" s="2" t="s">
        <v>25</v>
      </c>
      <c r="H9" s="2" t="s">
        <v>161</v>
      </c>
      <c r="I9" s="2" t="s">
        <v>25</v>
      </c>
      <c r="J9" s="2" t="s">
        <v>162</v>
      </c>
    </row>
    <row r="10" spans="1:10" x14ac:dyDescent="0.4">
      <c r="A10" s="2">
        <v>9</v>
      </c>
      <c r="B10" s="2" t="s">
        <v>163</v>
      </c>
      <c r="C10" s="2" t="s">
        <v>25</v>
      </c>
      <c r="D10" s="2" t="s">
        <v>25</v>
      </c>
      <c r="E10" s="2" t="s">
        <v>101</v>
      </c>
      <c r="F10" s="2" t="s">
        <v>25</v>
      </c>
      <c r="G10" s="2" t="s">
        <v>25</v>
      </c>
      <c r="H10" s="2" t="s">
        <v>164</v>
      </c>
      <c r="I10" s="2" t="s">
        <v>25</v>
      </c>
      <c r="J10" s="2" t="s">
        <v>165</v>
      </c>
    </row>
    <row r="11" spans="1:10" x14ac:dyDescent="0.4">
      <c r="A11" s="2">
        <v>10</v>
      </c>
      <c r="B11" s="2" t="s">
        <v>66</v>
      </c>
      <c r="C11" s="2" t="s">
        <v>25</v>
      </c>
      <c r="D11" s="2" t="s">
        <v>25</v>
      </c>
      <c r="E11" s="2" t="s">
        <v>101</v>
      </c>
      <c r="F11" s="2" t="s">
        <v>25</v>
      </c>
      <c r="G11" s="2" t="s">
        <v>25</v>
      </c>
      <c r="H11" s="2" t="s">
        <v>166</v>
      </c>
      <c r="I11" s="2" t="s">
        <v>25</v>
      </c>
      <c r="J11" s="2" t="s">
        <v>167</v>
      </c>
    </row>
    <row r="13" spans="1:10" x14ac:dyDescent="0.4">
      <c r="A13" s="9" t="s">
        <v>72</v>
      </c>
    </row>
    <row r="14" spans="1:10" x14ac:dyDescent="0.4">
      <c r="A14" s="9" t="s">
        <v>73</v>
      </c>
    </row>
    <row r="15" spans="1:10" x14ac:dyDescent="0.4">
      <c r="A15" s="9" t="s">
        <v>74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에폭시 바닥재</vt:lpstr>
      <vt:lpstr>우레탄 방수재</vt:lpstr>
      <vt:lpstr>판매점 연락처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지찬 김</cp:lastModifiedBy>
  <dcterms:created xsi:type="dcterms:W3CDTF">2026-03-12T11:25:59Z</dcterms:created>
  <dcterms:modified xsi:type="dcterms:W3CDTF">2026-03-12T11:45:58Z</dcterms:modified>
</cp:coreProperties>
</file>